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Python-for-Finances\12-Otimização de Portfolio de Markowitz\"/>
    </mc:Choice>
  </mc:AlternateContent>
  <xr:revisionPtr revIDLastSave="0" documentId="13_ncr:1_{36B77CDA-6F8E-4401-B32C-B2A76AAF3DB4}" xr6:coauthVersionLast="47" xr6:coauthVersionMax="47" xr10:uidLastSave="{00000000-0000-0000-0000-000000000000}"/>
  <bookViews>
    <workbookView xWindow="-120" yWindow="-120" windowWidth="29040" windowHeight="16440" xr2:uid="{FA6338A4-7A4A-4CAC-890B-13A15644CD6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E9" i="1"/>
  <c r="E10" i="1"/>
  <c r="E11" i="1"/>
  <c r="E12" i="1"/>
  <c r="E7" i="1"/>
  <c r="D11" i="1"/>
  <c r="D12" i="1"/>
  <c r="D8" i="1"/>
  <c r="D9" i="1"/>
  <c r="D10" i="1"/>
  <c r="D7" i="1"/>
  <c r="C9" i="1"/>
  <c r="C10" i="1" s="1"/>
  <c r="C11" i="1" s="1"/>
  <c r="C12" i="1" s="1"/>
  <c r="C8" i="1"/>
  <c r="B9" i="1"/>
  <c r="B10" i="1"/>
  <c r="B11" i="1" s="1"/>
  <c r="B12" i="1" s="1"/>
  <c r="B8" i="1"/>
</calcChain>
</file>

<file path=xl/sharedStrings.xml><?xml version="1.0" encoding="utf-8"?>
<sst xmlns="http://schemas.openxmlformats.org/spreadsheetml/2006/main" count="11" uniqueCount="10">
  <si>
    <t>Ação</t>
  </si>
  <si>
    <t>Retorno</t>
  </si>
  <si>
    <t>A</t>
  </si>
  <si>
    <t>B</t>
  </si>
  <si>
    <t>Correlação</t>
  </si>
  <si>
    <t>Portfolio</t>
  </si>
  <si>
    <t>Peso A</t>
  </si>
  <si>
    <t>Peso B</t>
  </si>
  <si>
    <t>Retorno da Carteira</t>
  </si>
  <si>
    <t>Desvio-Padrão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</si>
</sst>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0" fontId="0" fillId="0" borderId="0" xfId="0" applyNumberFormat="1" applyAlignment="1">
      <alignment horizontal="center"/>
    </xf>
    <xf numFmtId="10" fontId="1" fillId="0" borderId="0" xfId="1" applyNumberFormat="1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Markowitz Shape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Planilha1!$E$7:$E$12</c:f>
              <c:numCache>
                <c:formatCode>0.00%</c:formatCode>
                <c:ptCount val="6"/>
                <c:pt idx="0">
                  <c:v>0.05</c:v>
                </c:pt>
                <c:pt idx="1">
                  <c:v>4.7328638264796941E-2</c:v>
                </c:pt>
                <c:pt idx="2">
                  <c:v>5.000000000000001E-2</c:v>
                </c:pt>
                <c:pt idx="3">
                  <c:v>5.7271284253105424E-2</c:v>
                </c:pt>
                <c:pt idx="4">
                  <c:v>6.7675697262754533E-2</c:v>
                </c:pt>
                <c:pt idx="5">
                  <c:v>0.08</c:v>
                </c:pt>
              </c:numCache>
            </c:numRef>
          </c:xVal>
          <c:yVal>
            <c:numRef>
              <c:f>Planilha1!$D$7:$D$12</c:f>
              <c:numCache>
                <c:formatCode>0.00%</c:formatCode>
                <c:ptCount val="6"/>
                <c:pt idx="0">
                  <c:v>7.0000000000000007E-2</c:v>
                </c:pt>
                <c:pt idx="1">
                  <c:v>7.400000000000001E-2</c:v>
                </c:pt>
                <c:pt idx="2">
                  <c:v>7.8000000000000014E-2</c:v>
                </c:pt>
                <c:pt idx="3">
                  <c:v>8.2000000000000017E-2</c:v>
                </c:pt>
                <c:pt idx="4">
                  <c:v>8.5999999999999993E-2</c:v>
                </c:pt>
                <c:pt idx="5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8-477F-814E-EC1F55148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473775"/>
        <c:axId val="2025476687"/>
      </c:scatterChart>
      <c:valAx>
        <c:axId val="2025473775"/>
        <c:scaling>
          <c:orientation val="minMax"/>
          <c:max val="9.0000000000000024E-2"/>
          <c:min val="4.0000000000000008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Desvios-Padrão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5476687"/>
        <c:crosses val="autoZero"/>
        <c:crossBetween val="midCat"/>
      </c:valAx>
      <c:valAx>
        <c:axId val="2025476687"/>
        <c:scaling>
          <c:orientation val="minMax"/>
          <c:max val="0.1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Retorno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547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0</xdr:row>
      <xdr:rowOff>0</xdr:rowOff>
    </xdr:from>
    <xdr:to>
      <xdr:col>13</xdr:col>
      <xdr:colOff>190500</xdr:colOff>
      <xdr:row>14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85B9FB7-C88C-8E33-9E92-5A63D3856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B615-0A03-477B-9821-6BD200B4CB79}">
  <dimension ref="A1:E12"/>
  <sheetViews>
    <sheetView tabSelected="1" workbookViewId="0"/>
  </sheetViews>
  <sheetFormatPr defaultRowHeight="15" x14ac:dyDescent="0.25"/>
  <cols>
    <col min="1" max="1" width="10.42578125" bestFit="1" customWidth="1"/>
    <col min="3" max="3" width="14" bestFit="1" customWidth="1"/>
    <col min="4" max="4" width="18.42578125" style="1" bestFit="1" customWidth="1"/>
    <col min="5" max="5" width="14" bestFit="1" customWidth="1"/>
  </cols>
  <sheetData>
    <row r="1" spans="1:5" x14ac:dyDescent="0.25">
      <c r="A1" t="s">
        <v>0</v>
      </c>
      <c r="B1" s="1" t="s">
        <v>1</v>
      </c>
      <c r="C1" s="1" t="s">
        <v>9</v>
      </c>
    </row>
    <row r="2" spans="1:5" x14ac:dyDescent="0.25">
      <c r="A2" t="s">
        <v>2</v>
      </c>
      <c r="B2" s="2">
        <v>7.0000000000000007E-2</v>
      </c>
      <c r="C2" s="2">
        <v>0.05</v>
      </c>
    </row>
    <row r="3" spans="1:5" x14ac:dyDescent="0.25">
      <c r="A3" t="s">
        <v>3</v>
      </c>
      <c r="B3" s="2">
        <v>0.09</v>
      </c>
      <c r="C3" s="2">
        <v>0.08</v>
      </c>
    </row>
    <row r="4" spans="1:5" x14ac:dyDescent="0.25">
      <c r="A4" t="s">
        <v>4</v>
      </c>
      <c r="B4" s="2">
        <v>0.3</v>
      </c>
    </row>
    <row r="6" spans="1:5" x14ac:dyDescent="0.25">
      <c r="A6" s="1" t="s">
        <v>5</v>
      </c>
      <c r="B6" s="1" t="s">
        <v>6</v>
      </c>
      <c r="C6" s="1" t="s">
        <v>7</v>
      </c>
      <c r="D6" s="1" t="s">
        <v>8</v>
      </c>
      <c r="E6" s="1" t="s">
        <v>9</v>
      </c>
    </row>
    <row r="7" spans="1:5" x14ac:dyDescent="0.25">
      <c r="A7" s="1">
        <v>1</v>
      </c>
      <c r="B7" s="2">
        <v>1</v>
      </c>
      <c r="C7" s="2">
        <v>0</v>
      </c>
      <c r="D7" s="3">
        <f>($B$2*B7)+($B$3*C7)</f>
        <v>7.0000000000000007E-2</v>
      </c>
      <c r="E7" s="4">
        <f>((B7^2*$C$2^2)+(2*B7*$C$2*C7*$C$3*$B$4)+(C7^2*$C$3^2))^(1/2)</f>
        <v>0.05</v>
      </c>
    </row>
    <row r="8" spans="1:5" x14ac:dyDescent="0.25">
      <c r="A8" s="1">
        <v>2</v>
      </c>
      <c r="B8" s="2">
        <f>B7-0.2</f>
        <v>0.8</v>
      </c>
      <c r="C8" s="2">
        <f>C7+0.2</f>
        <v>0.2</v>
      </c>
      <c r="D8" s="3">
        <f t="shared" ref="D8:D12" si="0">($B$2*B8)+($B$3*C8)</f>
        <v>7.400000000000001E-2</v>
      </c>
      <c r="E8" s="4">
        <f t="shared" ref="E8:E12" si="1">((B8^2*$C$2^2)+(2*B8*$C$2*C8*$C$3*$B$4)+(C8^2*$C$3^2))^(1/2)</f>
        <v>4.7328638264796941E-2</v>
      </c>
    </row>
    <row r="9" spans="1:5" x14ac:dyDescent="0.25">
      <c r="A9" s="1">
        <v>3</v>
      </c>
      <c r="B9" s="2">
        <f t="shared" ref="B9:B12" si="2">B8-0.2</f>
        <v>0.60000000000000009</v>
      </c>
      <c r="C9" s="2">
        <f t="shared" ref="C9:C12" si="3">C8+0.2</f>
        <v>0.4</v>
      </c>
      <c r="D9" s="3">
        <f t="shared" si="0"/>
        <v>7.8000000000000014E-2</v>
      </c>
      <c r="E9" s="4">
        <f t="shared" si="1"/>
        <v>5.000000000000001E-2</v>
      </c>
    </row>
    <row r="10" spans="1:5" x14ac:dyDescent="0.25">
      <c r="A10" s="1">
        <v>4</v>
      </c>
      <c r="B10" s="2">
        <f t="shared" si="2"/>
        <v>0.40000000000000008</v>
      </c>
      <c r="C10" s="2">
        <f t="shared" si="3"/>
        <v>0.60000000000000009</v>
      </c>
      <c r="D10" s="3">
        <f t="shared" si="0"/>
        <v>8.2000000000000017E-2</v>
      </c>
      <c r="E10" s="4">
        <f t="shared" si="1"/>
        <v>5.7271284253105424E-2</v>
      </c>
    </row>
    <row r="11" spans="1:5" x14ac:dyDescent="0.25">
      <c r="A11" s="1">
        <v>5</v>
      </c>
      <c r="B11" s="2">
        <f t="shared" si="2"/>
        <v>0.20000000000000007</v>
      </c>
      <c r="C11" s="2">
        <f t="shared" si="3"/>
        <v>0.8</v>
      </c>
      <c r="D11" s="3">
        <f>($B$2*B11)+($B$3*C11)</f>
        <v>8.5999999999999993E-2</v>
      </c>
      <c r="E11" s="4">
        <f t="shared" si="1"/>
        <v>6.7675697262754533E-2</v>
      </c>
    </row>
    <row r="12" spans="1:5" x14ac:dyDescent="0.25">
      <c r="A12" s="1">
        <v>6</v>
      </c>
      <c r="B12" s="2">
        <f t="shared" si="2"/>
        <v>0</v>
      </c>
      <c r="C12" s="2">
        <f t="shared" si="3"/>
        <v>1</v>
      </c>
      <c r="D12" s="3">
        <f>($B$2*B12)+($B$3*C12)</f>
        <v>0.09</v>
      </c>
      <c r="E12" s="4">
        <f t="shared" si="1"/>
        <v>0.08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Rigueti Brandão</dc:creator>
  <cp:lastModifiedBy>Bruno Rigueti Brandão</cp:lastModifiedBy>
  <dcterms:created xsi:type="dcterms:W3CDTF">2022-09-17T15:02:40Z</dcterms:created>
  <dcterms:modified xsi:type="dcterms:W3CDTF">2022-09-17T17:44:57Z</dcterms:modified>
</cp:coreProperties>
</file>